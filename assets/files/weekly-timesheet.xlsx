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  <sheet name="Example" sheetId="2" state="visible" r:id="rId2"/>
  </sheets>
  <definedNames>
    <definedName name="_xlnm.Print_Area" localSheetId="0">'Timesheet'!$A$1:$J$28</definedName>
    <definedName name="_xlnm.Print_Area" localSheetId="1">'Example'!$A$1:$J$28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$#,##0.00"/>
    <numFmt numFmtId="166" formatCode="mm/dd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1D4ED8"/>
      <sz val="18"/>
    </font>
    <font>
      <i val="1"/>
      <color rgb="005B6577"/>
      <sz val="9"/>
    </font>
    <font>
      <b val="1"/>
    </font>
    <font/>
    <font>
      <color rgb="005B6577"/>
      <sz val="9"/>
    </font>
    <font>
      <sz val="10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2" borderId="1" applyAlignment="1" pivotButton="0" quotePrefix="0" xfId="0">
      <alignment horizontal="center"/>
    </xf>
    <xf numFmtId="166" fontId="0" fillId="0" borderId="1" pivotButton="0" quotePrefix="0" xfId="0"/>
    <xf numFmtId="18" fontId="0" fillId="0" borderId="1" pivotButton="0" quotePrefix="0" xfId="0"/>
    <xf numFmtId="2" fontId="0" fillId="0" borderId="1" pivotButton="0" quotePrefix="0" xfId="0"/>
    <xf numFmtId="2" fontId="3" fillId="3" borderId="1" pivotButton="0" quotePrefix="0" xfId="0"/>
    <xf numFmtId="0" fontId="4" fillId="0" borderId="0" pivotButton="0" quotePrefix="0" xfId="0"/>
    <xf numFmtId="165" fontId="3" fillId="3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3" customWidth="1" min="8" max="8"/>
    <col width="26" customWidth="1" min="9" max="9"/>
    <col width="14" customWidth="1" min="10" max="10"/>
  </cols>
  <sheetData>
    <row r="1">
      <c r="A1" s="1" t="inlineStr">
        <is>
          <t>Weekly Timesheet</t>
        </is>
      </c>
    </row>
    <row r="2">
      <c r="A2" s="2" t="inlineStr">
        <is>
          <t>Free template from workhourmath.com — times in 12-hour format, e.g. 9:00 AM</t>
        </is>
      </c>
    </row>
    <row r="4">
      <c r="A4" s="3" t="inlineStr">
        <is>
          <t>Employee</t>
        </is>
      </c>
      <c r="B4" s="4" t="n"/>
      <c r="E4" s="3" t="inlineStr">
        <is>
          <t>Hourly rate ($)</t>
        </is>
      </c>
      <c r="G4" s="5" t="n"/>
    </row>
    <row r="5">
      <c r="A5" s="3" t="inlineStr">
        <is>
          <t>Week starting</t>
        </is>
      </c>
      <c r="B5" s="6" t="n"/>
      <c r="E5" s="3" t="inlineStr">
        <is>
          <t>Overtime after (hrs/week)</t>
        </is>
      </c>
      <c r="G5" s="4" t="n">
        <v>40</v>
      </c>
    </row>
    <row r="7">
      <c r="A7" s="7" t="inlineStr">
        <is>
          <t>Day</t>
        </is>
      </c>
      <c r="B7" s="7" t="inlineStr">
        <is>
          <t>Date</t>
        </is>
      </c>
      <c r="C7" s="7" t="inlineStr">
        <is>
          <t>Time in</t>
        </is>
      </c>
      <c r="D7" s="7" t="inlineStr">
        <is>
          <t>Lunch out</t>
        </is>
      </c>
      <c r="E7" s="7" t="inlineStr">
        <is>
          <t>Lunch in</t>
        </is>
      </c>
      <c r="F7" s="7" t="inlineStr">
        <is>
          <t>Time out</t>
        </is>
      </c>
      <c r="G7" s="7" t="inlineStr">
        <is>
          <t>Hours</t>
        </is>
      </c>
    </row>
    <row r="8">
      <c r="A8" s="4" t="inlineStr">
        <is>
          <t>Monday</t>
        </is>
      </c>
      <c r="B8" s="8">
        <f>IF($B$5="","",$B$5+0)</f>
        <v/>
      </c>
      <c r="C8" s="9" t="n"/>
      <c r="D8" s="9" t="n"/>
      <c r="E8" s="9" t="n"/>
      <c r="F8" s="9" t="n"/>
      <c r="G8" s="10">
        <f>IF(OR(C8="",F8=""),0,ROUND((MOD(F8-C8,1)-IF(OR(D8="",E8=""),0,MOD(E8-D8,1)))*24,2))</f>
        <v/>
      </c>
    </row>
    <row r="9">
      <c r="A9" s="4" t="inlineStr">
        <is>
          <t>Tuesday</t>
        </is>
      </c>
      <c r="B9" s="8">
        <f>IF($B$5="","",$B$5+1)</f>
        <v/>
      </c>
      <c r="C9" s="9" t="n"/>
      <c r="D9" s="9" t="n"/>
      <c r="E9" s="9" t="n"/>
      <c r="F9" s="9" t="n"/>
      <c r="G9" s="10">
        <f>IF(OR(C9="",F9=""),0,ROUND((MOD(F9-C9,1)-IF(OR(D9="",E9=""),0,MOD(E9-D9,1)))*24,2))</f>
        <v/>
      </c>
    </row>
    <row r="10">
      <c r="A10" s="4" t="inlineStr">
        <is>
          <t>Wednesday</t>
        </is>
      </c>
      <c r="B10" s="8">
        <f>IF($B$5="","",$B$5+2)</f>
        <v/>
      </c>
      <c r="C10" s="9" t="n"/>
      <c r="D10" s="9" t="n"/>
      <c r="E10" s="9" t="n"/>
      <c r="F10" s="9" t="n"/>
      <c r="G10" s="10">
        <f>IF(OR(C10="",F10=""),0,ROUND((MOD(F10-C10,1)-IF(OR(D10="",E10=""),0,MOD(E10-D10,1)))*24,2))</f>
        <v/>
      </c>
    </row>
    <row r="11">
      <c r="A11" s="4" t="inlineStr">
        <is>
          <t>Thursday</t>
        </is>
      </c>
      <c r="B11" s="8">
        <f>IF($B$5="","",$B$5+3)</f>
        <v/>
      </c>
      <c r="C11" s="9" t="n"/>
      <c r="D11" s="9" t="n"/>
      <c r="E11" s="9" t="n"/>
      <c r="F11" s="9" t="n"/>
      <c r="G11" s="10">
        <f>IF(OR(C11="",F11=""),0,ROUND((MOD(F11-C11,1)-IF(OR(D11="",E11=""),0,MOD(E11-D11,1)))*24,2))</f>
        <v/>
      </c>
    </row>
    <row r="12">
      <c r="A12" s="4" t="inlineStr">
        <is>
          <t>Friday</t>
        </is>
      </c>
      <c r="B12" s="8">
        <f>IF($B$5="","",$B$5+4)</f>
        <v/>
      </c>
      <c r="C12" s="9" t="n"/>
      <c r="D12" s="9" t="n"/>
      <c r="E12" s="9" t="n"/>
      <c r="F12" s="9" t="n"/>
      <c r="G12" s="10">
        <f>IF(OR(C12="",F12=""),0,ROUND((MOD(F12-C12,1)-IF(OR(D12="",E12=""),0,MOD(E12-D12,1)))*24,2))</f>
        <v/>
      </c>
    </row>
    <row r="13">
      <c r="A13" s="4" t="inlineStr">
        <is>
          <t>Saturday</t>
        </is>
      </c>
      <c r="B13" s="8">
        <f>IF($B$5="","",$B$5+5)</f>
        <v/>
      </c>
      <c r="C13" s="9" t="n"/>
      <c r="D13" s="9" t="n"/>
      <c r="E13" s="9" t="n"/>
      <c r="F13" s="9" t="n"/>
      <c r="G13" s="10">
        <f>IF(OR(C13="",F13=""),0,ROUND((MOD(F13-C13,1)-IF(OR(D13="",E13=""),0,MOD(E13-D13,1)))*24,2))</f>
        <v/>
      </c>
    </row>
    <row r="14">
      <c r="A14" s="4" t="inlineStr">
        <is>
          <t>Sunday</t>
        </is>
      </c>
      <c r="B14" s="8">
        <f>IF($B$5="","",$B$5+6)</f>
        <v/>
      </c>
      <c r="C14" s="9" t="n"/>
      <c r="D14" s="9" t="n"/>
      <c r="E14" s="9" t="n"/>
      <c r="F14" s="9" t="n"/>
      <c r="G14" s="10">
        <f>IF(OR(C14="",F14=""),0,ROUND((MOD(F14-C14,1)-IF(OR(D14="",E14=""),0,MOD(E14-D14,1)))*24,2))</f>
        <v/>
      </c>
    </row>
    <row r="15">
      <c r="F15" s="3" t="inlineStr">
        <is>
          <t>Total hours</t>
        </is>
      </c>
      <c r="G15" s="11">
        <f>SUM(G8:G14)</f>
        <v/>
      </c>
    </row>
    <row r="17">
      <c r="I17" s="3" t="inlineStr">
        <is>
          <t>Total hours</t>
        </is>
      </c>
      <c r="J17" s="11">
        <f>G15</f>
        <v/>
      </c>
    </row>
    <row r="18">
      <c r="I18" s="12" t="inlineStr">
        <is>
          <t>Regular hours</t>
        </is>
      </c>
      <c r="J18" s="10">
        <f>MIN(G15,$G$5)</f>
        <v/>
      </c>
    </row>
    <row r="19">
      <c r="I19" s="12" t="inlineStr">
        <is>
          <t>Overtime hours (1.5×)</t>
        </is>
      </c>
      <c r="J19" s="10">
        <f>MAX(0,G15-$G$5)</f>
        <v/>
      </c>
    </row>
    <row r="20">
      <c r="I20" s="12" t="inlineStr">
        <is>
          <t>Regular pay</t>
        </is>
      </c>
      <c r="J20" s="5">
        <f>IF($G$4="","",J18*$G$4)</f>
        <v/>
      </c>
    </row>
    <row r="21">
      <c r="I21" s="12" t="inlineStr">
        <is>
          <t>Overtime pay</t>
        </is>
      </c>
      <c r="J21" s="5">
        <f>IF($G$4="","",J19*$G$4*1.5)</f>
        <v/>
      </c>
    </row>
    <row r="22">
      <c r="I22" s="3" t="inlineStr">
        <is>
          <t>Gross pay</t>
        </is>
      </c>
      <c r="J22" s="13">
        <f>IF($G$4="","",J20+J21)</f>
        <v/>
      </c>
    </row>
    <row r="24">
      <c r="I24" s="14" t="inlineStr">
        <is>
          <t>Gross pay is before taxes. Overtime here follows the federal 40-hour weekly rule;</t>
        </is>
      </c>
    </row>
    <row r="25">
      <c r="I25" s="14" t="inlineStr">
        <is>
          <t>some states also have daily overtime — see workhourmath.com/guides/overtime-rules-by-state.html</t>
        </is>
      </c>
    </row>
    <row r="27">
      <c r="A27" s="15" t="inlineStr">
        <is>
          <t>Supervisor signature: ______________________     Employee signature: ______________________</t>
        </is>
      </c>
    </row>
  </sheetData>
  <dataValidations count="1">
    <dataValidation sqref="C8 C9 C10 C11 C12 C13 C14 D8 D9 D10 D11 D12 D13 D14 E8 E9 E10 E11 E12 E13 E14 F8 F9 F10 F11 F12 F13 F14" showDropDown="0" showInputMessage="0" showErrorMessage="0" allowBlank="1" errorTitle="Time" error="Enter a time such as 9:00 A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3" customWidth="1" min="8" max="8"/>
    <col width="26" customWidth="1" min="9" max="9"/>
    <col width="14" customWidth="1" min="10" max="10"/>
  </cols>
  <sheetData>
    <row r="1">
      <c r="A1" s="1" t="inlineStr">
        <is>
          <t>Weekly Timesheet</t>
        </is>
      </c>
    </row>
    <row r="2">
      <c r="A2" s="2" t="inlineStr">
        <is>
          <t>Free template from workhourmath.com — times in 12-hour format, e.g. 9:00 AM</t>
        </is>
      </c>
    </row>
    <row r="4">
      <c r="A4" s="3" t="inlineStr">
        <is>
          <t>Employee</t>
        </is>
      </c>
      <c r="B4" s="4" t="inlineStr">
        <is>
          <t>Example employee</t>
        </is>
      </c>
      <c r="E4" s="3" t="inlineStr">
        <is>
          <t>Hourly rate ($)</t>
        </is>
      </c>
      <c r="G4" s="5" t="n">
        <v>18.5</v>
      </c>
    </row>
    <row r="5">
      <c r="A5" s="3" t="inlineStr">
        <is>
          <t>Week starting</t>
        </is>
      </c>
      <c r="B5" s="6" t="n">
        <v>46314</v>
      </c>
      <c r="E5" s="3" t="inlineStr">
        <is>
          <t>Overtime after (hrs/week)</t>
        </is>
      </c>
      <c r="G5" s="4" t="n">
        <v>40</v>
      </c>
    </row>
    <row r="7">
      <c r="A7" s="7" t="inlineStr">
        <is>
          <t>Day</t>
        </is>
      </c>
      <c r="B7" s="7" t="inlineStr">
        <is>
          <t>Date</t>
        </is>
      </c>
      <c r="C7" s="7" t="inlineStr">
        <is>
          <t>Time in</t>
        </is>
      </c>
      <c r="D7" s="7" t="inlineStr">
        <is>
          <t>Lunch out</t>
        </is>
      </c>
      <c r="E7" s="7" t="inlineStr">
        <is>
          <t>Lunch in</t>
        </is>
      </c>
      <c r="F7" s="7" t="inlineStr">
        <is>
          <t>Time out</t>
        </is>
      </c>
      <c r="G7" s="7" t="inlineStr">
        <is>
          <t>Hours</t>
        </is>
      </c>
    </row>
    <row r="8">
      <c r="A8" s="4" t="inlineStr">
        <is>
          <t>Monday</t>
        </is>
      </c>
      <c r="B8" s="8">
        <f>IF($B$5="","",$B$5+0)</f>
        <v/>
      </c>
      <c r="C8" s="9" t="n">
        <v>0.3645833333333333</v>
      </c>
      <c r="D8" s="9" t="n">
        <v>0.5208333333333334</v>
      </c>
      <c r="E8" s="9" t="n">
        <v>0.5416666666666666</v>
      </c>
      <c r="F8" s="9" t="n">
        <v>0.71875</v>
      </c>
      <c r="G8" s="10">
        <f>IF(OR(C8="",F8=""),0,ROUND((MOD(F8-C8,1)-IF(OR(D8="",E8=""),0,MOD(E8-D8,1)))*24,2))</f>
        <v/>
      </c>
    </row>
    <row r="9">
      <c r="A9" s="4" t="inlineStr">
        <is>
          <t>Tuesday</t>
        </is>
      </c>
      <c r="B9" s="8">
        <f>IF($B$5="","",$B$5+1)</f>
        <v/>
      </c>
      <c r="C9" s="9" t="n">
        <v>0.3645833333333333</v>
      </c>
      <c r="D9" s="9" t="n">
        <v>0.5208333333333334</v>
      </c>
      <c r="E9" s="9" t="n">
        <v>0.5416666666666666</v>
      </c>
      <c r="F9" s="9" t="n">
        <v>0.71875</v>
      </c>
      <c r="G9" s="10">
        <f>IF(OR(C9="",F9=""),0,ROUND((MOD(F9-C9,1)-IF(OR(D9="",E9=""),0,MOD(E9-D9,1)))*24,2))</f>
        <v/>
      </c>
    </row>
    <row r="10">
      <c r="A10" s="4" t="inlineStr">
        <is>
          <t>Wednesday</t>
        </is>
      </c>
      <c r="B10" s="8">
        <f>IF($B$5="","",$B$5+2)</f>
        <v/>
      </c>
      <c r="C10" s="9" t="n">
        <v>0.3645833333333333</v>
      </c>
      <c r="D10" s="9" t="n">
        <v>0.5208333333333334</v>
      </c>
      <c r="E10" s="9" t="n">
        <v>0.5416666666666666</v>
      </c>
      <c r="F10" s="9" t="n">
        <v>0.71875</v>
      </c>
      <c r="G10" s="10">
        <f>IF(OR(C10="",F10=""),0,ROUND((MOD(F10-C10,1)-IF(OR(D10="",E10=""),0,MOD(E10-D10,1)))*24,2))</f>
        <v/>
      </c>
    </row>
    <row r="11">
      <c r="A11" s="4" t="inlineStr">
        <is>
          <t>Thursday</t>
        </is>
      </c>
      <c r="B11" s="8">
        <f>IF($B$5="","",$B$5+3)</f>
        <v/>
      </c>
      <c r="C11" s="9" t="n">
        <v>0.3645833333333333</v>
      </c>
      <c r="D11" s="9" t="n">
        <v>0.5208333333333334</v>
      </c>
      <c r="E11" s="9" t="n">
        <v>0.5416666666666666</v>
      </c>
      <c r="F11" s="9" t="n">
        <v>0.71875</v>
      </c>
      <c r="G11" s="10">
        <f>IF(OR(C11="",F11=""),0,ROUND((MOD(F11-C11,1)-IF(OR(D11="",E11=""),0,MOD(E11-D11,1)))*24,2))</f>
        <v/>
      </c>
    </row>
    <row r="12">
      <c r="A12" s="4" t="inlineStr">
        <is>
          <t>Friday</t>
        </is>
      </c>
      <c r="B12" s="8">
        <f>IF($B$5="","",$B$5+4)</f>
        <v/>
      </c>
      <c r="C12" s="9" t="n">
        <v>0.3645833333333333</v>
      </c>
      <c r="D12" s="9" t="n">
        <v>0.5208333333333334</v>
      </c>
      <c r="E12" s="9" t="n">
        <v>0.5416666666666666</v>
      </c>
      <c r="F12" s="9" t="n">
        <v>0.71875</v>
      </c>
      <c r="G12" s="10">
        <f>IF(OR(C12="",F12=""),0,ROUND((MOD(F12-C12,1)-IF(OR(D12="",E12=""),0,MOD(E12-D12,1)))*24,2))</f>
        <v/>
      </c>
    </row>
    <row r="13">
      <c r="A13" s="4" t="inlineStr">
        <is>
          <t>Saturday</t>
        </is>
      </c>
      <c r="B13" s="8">
        <f>IF($B$5="","",$B$5+5)</f>
        <v/>
      </c>
      <c r="C13" s="9" t="n">
        <v>0.3333333333333333</v>
      </c>
      <c r="D13" s="9" t="n"/>
      <c r="E13" s="9" t="n"/>
      <c r="F13" s="9" t="n">
        <v>0.5208333333333334</v>
      </c>
      <c r="G13" s="10">
        <f>IF(OR(C13="",F13=""),0,ROUND((MOD(F13-C13,1)-IF(OR(D13="",E13=""),0,MOD(E13-D13,1)))*24,2))</f>
        <v/>
      </c>
    </row>
    <row r="14">
      <c r="A14" s="4" t="inlineStr">
        <is>
          <t>Sunday</t>
        </is>
      </c>
      <c r="B14" s="8">
        <f>IF($B$5="","",$B$5+6)</f>
        <v/>
      </c>
      <c r="C14" s="9" t="n"/>
      <c r="D14" s="9" t="n"/>
      <c r="E14" s="9" t="n"/>
      <c r="F14" s="9" t="n"/>
      <c r="G14" s="10">
        <f>IF(OR(C14="",F14=""),0,ROUND((MOD(F14-C14,1)-IF(OR(D14="",E14=""),0,MOD(E14-D14,1)))*24,2))</f>
        <v/>
      </c>
    </row>
    <row r="15">
      <c r="F15" s="3" t="inlineStr">
        <is>
          <t>Total hours</t>
        </is>
      </c>
      <c r="G15" s="11">
        <f>SUM(G8:G14)</f>
        <v/>
      </c>
    </row>
    <row r="17">
      <c r="I17" s="3" t="inlineStr">
        <is>
          <t>Total hours</t>
        </is>
      </c>
      <c r="J17" s="11">
        <f>G15</f>
        <v/>
      </c>
    </row>
    <row r="18">
      <c r="I18" s="12" t="inlineStr">
        <is>
          <t>Regular hours</t>
        </is>
      </c>
      <c r="J18" s="10">
        <f>MIN(G15,$G$5)</f>
        <v/>
      </c>
    </row>
    <row r="19">
      <c r="I19" s="12" t="inlineStr">
        <is>
          <t>Overtime hours (1.5×)</t>
        </is>
      </c>
      <c r="J19" s="10">
        <f>MAX(0,G15-$G$5)</f>
        <v/>
      </c>
    </row>
    <row r="20">
      <c r="I20" s="12" t="inlineStr">
        <is>
          <t>Regular pay</t>
        </is>
      </c>
      <c r="J20" s="5">
        <f>IF($G$4="","",J18*$G$4)</f>
        <v/>
      </c>
    </row>
    <row r="21">
      <c r="I21" s="12" t="inlineStr">
        <is>
          <t>Overtime pay</t>
        </is>
      </c>
      <c r="J21" s="5">
        <f>IF($G$4="","",J19*$G$4*1.5)</f>
        <v/>
      </c>
    </row>
    <row r="22">
      <c r="I22" s="3" t="inlineStr">
        <is>
          <t>Gross pay</t>
        </is>
      </c>
      <c r="J22" s="13">
        <f>IF($G$4="","",J20+J21)</f>
        <v/>
      </c>
    </row>
    <row r="24">
      <c r="I24" s="14" t="inlineStr">
        <is>
          <t>Gross pay is before taxes. Overtime here follows the federal 40-hour weekly rule;</t>
        </is>
      </c>
    </row>
    <row r="25">
      <c r="I25" s="14" t="inlineStr">
        <is>
          <t>some states also have daily overtime — see workhourmath.com/guides/overtime-rules-by-state.html</t>
        </is>
      </c>
    </row>
    <row r="27">
      <c r="A27" s="15" t="inlineStr">
        <is>
          <t>Supervisor signature: ______________________     Employee signature: ______________________</t>
        </is>
      </c>
    </row>
  </sheetData>
  <dataValidations count="1">
    <dataValidation sqref="C8 C9 C10 C11 C12 C13 C14 D8 D9 D10 D11 D12 D13 D14 E8 E9 E10 E11 E12 E13 E14 F8 F9 F10 F11 F12 F13 F14" showDropDown="0" showInputMessage="0" showErrorMessage="0" allowBlank="1" errorTitle="Time" error="Enter a time such as 9:00 AM" type="time" operator="between">
      <formula1>0</formula1>
      <formula2>0.999988426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WorkHourMath</dc:creator>
  <dc:title>weekly-timesheet.xlsx</dc:title>
  <dcterms:created xsi:type="dcterms:W3CDTF">2026-10-14T14:19:48Z</dcterms:created>
  <dcterms:modified xsi:type="dcterms:W3CDTF">2026-10-14T14:19:48Z</dcterms:modified>
</cp:coreProperties>
</file>