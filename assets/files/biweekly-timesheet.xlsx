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sheet" sheetId="1" state="visible" r:id="rId1"/>
    <sheet name="Example" sheetId="2" state="visible" r:id="rId2"/>
  </sheets>
  <definedNames>
    <definedName name="_xlnm.Print_Area" localSheetId="0">'Timesheet'!$A$1:$J$40</definedName>
    <definedName name="_xlnm.Print_Area" localSheetId="1">'Example'!$A$1:$J$40</definedName>
  </definedNames>
  <calcPr calcId="124519" fullCalcOnLoad="1"/>
</workbook>
</file>

<file path=xl/styles.xml><?xml version="1.0" encoding="utf-8"?>
<styleSheet xmlns="http://schemas.openxmlformats.org/spreadsheetml/2006/main">
  <numFmts count="4">
    <numFmt numFmtId="164" formatCode="mm/dd/yyyy"/>
    <numFmt numFmtId="165" formatCode="$#,##0.00"/>
    <numFmt numFmtId="166" formatCode="mm/dd"/>
    <numFmt numFmtId="167" formatCode="yyyy-mm-dd"/>
  </numFmts>
  <fonts count="8">
    <font>
      <name val="Calibri"/>
      <family val="2"/>
      <color theme="1"/>
      <sz val="11"/>
      <scheme val="minor"/>
    </font>
    <font>
      <b val="1"/>
      <color rgb="001D4ED8"/>
      <sz val="18"/>
    </font>
    <font>
      <i val="1"/>
      <color rgb="005B6577"/>
      <sz val="9"/>
    </font>
    <font>
      <b val="1"/>
    </font>
    <font>
      <b val="1"/>
      <color rgb="001D4ED8"/>
    </font>
    <font/>
    <font>
      <color rgb="005B6577"/>
      <sz val="9"/>
    </font>
    <font>
      <sz val="10"/>
    </font>
  </fonts>
  <fills count="4">
    <fill>
      <patternFill/>
    </fill>
    <fill>
      <patternFill patternType="gray125"/>
    </fill>
    <fill>
      <patternFill patternType="solid">
        <fgColor rgb="00EFF6FF"/>
      </patternFill>
    </fill>
    <fill>
      <patternFill patternType="solid">
        <f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165" fontId="0" fillId="0" borderId="1" pivotButton="0" quotePrefix="0" xfId="0"/>
    <xf numFmtId="164" fontId="0" fillId="0" borderId="1" pivotButton="0" quotePrefix="0" xfId="0"/>
    <xf numFmtId="0" fontId="4" fillId="0" borderId="0" pivotButton="0" quotePrefix="0" xfId="0"/>
    <xf numFmtId="0" fontId="3" fillId="2" borderId="1" applyAlignment="1" pivotButton="0" quotePrefix="0" xfId="0">
      <alignment horizontal="center"/>
    </xf>
    <xf numFmtId="166" fontId="0" fillId="0" borderId="1" pivotButton="0" quotePrefix="0" xfId="0"/>
    <xf numFmtId="18" fontId="0" fillId="0" borderId="1" pivotButton="0" quotePrefix="0" xfId="0"/>
    <xf numFmtId="2" fontId="0" fillId="0" borderId="1" pivotButton="0" quotePrefix="0" xfId="0"/>
    <xf numFmtId="2" fontId="3" fillId="3" borderId="1" pivotButton="0" quotePrefix="0" xfId="0"/>
    <xf numFmtId="0" fontId="5" fillId="0" borderId="0" pivotButton="0" quotePrefix="0" xfId="0"/>
    <xf numFmtId="165" fontId="3" fillId="3" borderId="1"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39"/>
  <sheetViews>
    <sheetView showGridLines="0"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4" customWidth="1" min="7" max="7"/>
    <col width="3" customWidth="1" min="8" max="8"/>
    <col width="26" customWidth="1" min="9" max="9"/>
    <col width="14" customWidth="1" min="10" max="10"/>
  </cols>
  <sheetData>
    <row r="1">
      <c r="A1" s="1" t="inlineStr">
        <is>
          <t>Biweekly Timesheet</t>
        </is>
      </c>
    </row>
    <row r="2">
      <c r="A2" s="2" t="inlineStr">
        <is>
          <t>Free template from workhourmath.com — times in 12-hour format, e.g. 9:00 AM</t>
        </is>
      </c>
    </row>
    <row r="4">
      <c r="A4" s="3" t="inlineStr">
        <is>
          <t>Employee</t>
        </is>
      </c>
      <c r="B4" s="4" t="n"/>
      <c r="E4" s="3" t="inlineStr">
        <is>
          <t>Hourly rate ($)</t>
        </is>
      </c>
      <c r="G4" s="5" t="n"/>
    </row>
    <row r="5">
      <c r="A5" s="3" t="inlineStr">
        <is>
          <t>Week starting</t>
        </is>
      </c>
      <c r="B5" s="6" t="n"/>
      <c r="E5" s="3" t="inlineStr">
        <is>
          <t>Overtime after (hrs/week)</t>
        </is>
      </c>
      <c r="G5" s="4" t="n">
        <v>40</v>
      </c>
    </row>
    <row r="7">
      <c r="A7" s="7" t="inlineStr">
        <is>
          <t>Week 1</t>
        </is>
      </c>
    </row>
    <row r="8">
      <c r="A8" s="8" t="inlineStr">
        <is>
          <t>Day</t>
        </is>
      </c>
      <c r="B8" s="8" t="inlineStr">
        <is>
          <t>Date</t>
        </is>
      </c>
      <c r="C8" s="8" t="inlineStr">
        <is>
          <t>Time in</t>
        </is>
      </c>
      <c r="D8" s="8" t="inlineStr">
        <is>
          <t>Lunch out</t>
        </is>
      </c>
      <c r="E8" s="8" t="inlineStr">
        <is>
          <t>Lunch in</t>
        </is>
      </c>
      <c r="F8" s="8" t="inlineStr">
        <is>
          <t>Time out</t>
        </is>
      </c>
      <c r="G8" s="8" t="inlineStr">
        <is>
          <t>Hours</t>
        </is>
      </c>
    </row>
    <row r="9">
      <c r="A9" s="4" t="inlineStr">
        <is>
          <t>Monday</t>
        </is>
      </c>
      <c r="B9" s="9">
        <f>IF($B$5="","",$B$5+0)</f>
        <v/>
      </c>
      <c r="C9" s="10" t="n"/>
      <c r="D9" s="10" t="n"/>
      <c r="E9" s="10" t="n"/>
      <c r="F9" s="10" t="n"/>
      <c r="G9" s="11">
        <f>IF(OR(C9="",F9=""),0,ROUND((MOD(F9-C9,1)-IF(OR(D9="",E9=""),0,MOD(E9-D9,1)))*24,2))</f>
        <v/>
      </c>
    </row>
    <row r="10">
      <c r="A10" s="4" t="inlineStr">
        <is>
          <t>Tuesday</t>
        </is>
      </c>
      <c r="B10" s="9">
        <f>IF($B$5="","",$B$5+1)</f>
        <v/>
      </c>
      <c r="C10" s="10" t="n"/>
      <c r="D10" s="10" t="n"/>
      <c r="E10" s="10" t="n"/>
      <c r="F10" s="10" t="n"/>
      <c r="G10" s="11">
        <f>IF(OR(C10="",F10=""),0,ROUND((MOD(F10-C10,1)-IF(OR(D10="",E10=""),0,MOD(E10-D10,1)))*24,2))</f>
        <v/>
      </c>
    </row>
    <row r="11">
      <c r="A11" s="4" t="inlineStr">
        <is>
          <t>Wednesday</t>
        </is>
      </c>
      <c r="B11" s="9">
        <f>IF($B$5="","",$B$5+2)</f>
        <v/>
      </c>
      <c r="C11" s="10" t="n"/>
      <c r="D11" s="10" t="n"/>
      <c r="E11" s="10" t="n"/>
      <c r="F11" s="10" t="n"/>
      <c r="G11" s="11">
        <f>IF(OR(C11="",F11=""),0,ROUND((MOD(F11-C11,1)-IF(OR(D11="",E11=""),0,MOD(E11-D11,1)))*24,2))</f>
        <v/>
      </c>
    </row>
    <row r="12">
      <c r="A12" s="4" t="inlineStr">
        <is>
          <t>Thursday</t>
        </is>
      </c>
      <c r="B12" s="9">
        <f>IF($B$5="","",$B$5+3)</f>
        <v/>
      </c>
      <c r="C12" s="10" t="n"/>
      <c r="D12" s="10" t="n"/>
      <c r="E12" s="10" t="n"/>
      <c r="F12" s="10" t="n"/>
      <c r="G12" s="11">
        <f>IF(OR(C12="",F12=""),0,ROUND((MOD(F12-C12,1)-IF(OR(D12="",E12=""),0,MOD(E12-D12,1)))*24,2))</f>
        <v/>
      </c>
    </row>
    <row r="13">
      <c r="A13" s="4" t="inlineStr">
        <is>
          <t>Friday</t>
        </is>
      </c>
      <c r="B13" s="9">
        <f>IF($B$5="","",$B$5+4)</f>
        <v/>
      </c>
      <c r="C13" s="10" t="n"/>
      <c r="D13" s="10" t="n"/>
      <c r="E13" s="10" t="n"/>
      <c r="F13" s="10" t="n"/>
      <c r="G13" s="11">
        <f>IF(OR(C13="",F13=""),0,ROUND((MOD(F13-C13,1)-IF(OR(D13="",E13=""),0,MOD(E13-D13,1)))*24,2))</f>
        <v/>
      </c>
    </row>
    <row r="14">
      <c r="A14" s="4" t="inlineStr">
        <is>
          <t>Saturday</t>
        </is>
      </c>
      <c r="B14" s="9">
        <f>IF($B$5="","",$B$5+5)</f>
        <v/>
      </c>
      <c r="C14" s="10" t="n"/>
      <c r="D14" s="10" t="n"/>
      <c r="E14" s="10" t="n"/>
      <c r="F14" s="10" t="n"/>
      <c r="G14" s="11">
        <f>IF(OR(C14="",F14=""),0,ROUND((MOD(F14-C14,1)-IF(OR(D14="",E14=""),0,MOD(E14-D14,1)))*24,2))</f>
        <v/>
      </c>
    </row>
    <row r="15">
      <c r="A15" s="4" t="inlineStr">
        <is>
          <t>Sunday</t>
        </is>
      </c>
      <c r="B15" s="9">
        <f>IF($B$5="","",$B$5+6)</f>
        <v/>
      </c>
      <c r="C15" s="10" t="n"/>
      <c r="D15" s="10" t="n"/>
      <c r="E15" s="10" t="n"/>
      <c r="F15" s="10" t="n"/>
      <c r="G15" s="11">
        <f>IF(OR(C15="",F15=""),0,ROUND((MOD(F15-C15,1)-IF(OR(D15="",E15=""),0,MOD(E15-D15,1)))*24,2))</f>
        <v/>
      </c>
    </row>
    <row r="16">
      <c r="F16" s="3" t="inlineStr">
        <is>
          <t>Week total</t>
        </is>
      </c>
      <c r="G16" s="12">
        <f>SUM(G9:G15)</f>
        <v/>
      </c>
    </row>
    <row r="18">
      <c r="A18" s="7" t="inlineStr">
        <is>
          <t>Week 2</t>
        </is>
      </c>
    </row>
    <row r="19">
      <c r="A19" s="8" t="inlineStr">
        <is>
          <t>Day</t>
        </is>
      </c>
      <c r="B19" s="8" t="inlineStr">
        <is>
          <t>Date</t>
        </is>
      </c>
      <c r="C19" s="8" t="inlineStr">
        <is>
          <t>Time in</t>
        </is>
      </c>
      <c r="D19" s="8" t="inlineStr">
        <is>
          <t>Lunch out</t>
        </is>
      </c>
      <c r="E19" s="8" t="inlineStr">
        <is>
          <t>Lunch in</t>
        </is>
      </c>
      <c r="F19" s="8" t="inlineStr">
        <is>
          <t>Time out</t>
        </is>
      </c>
      <c r="G19" s="8" t="inlineStr">
        <is>
          <t>Hours</t>
        </is>
      </c>
    </row>
    <row r="20">
      <c r="A20" s="4" t="inlineStr">
        <is>
          <t>Monday</t>
        </is>
      </c>
      <c r="B20" s="9">
        <f>IF($B$5="","",$B$5+7)</f>
        <v/>
      </c>
      <c r="C20" s="10" t="n"/>
      <c r="D20" s="10" t="n"/>
      <c r="E20" s="10" t="n"/>
      <c r="F20" s="10" t="n"/>
      <c r="G20" s="11">
        <f>IF(OR(C20="",F20=""),0,ROUND((MOD(F20-C20,1)-IF(OR(D20="",E20=""),0,MOD(E20-D20,1)))*24,2))</f>
        <v/>
      </c>
    </row>
    <row r="21">
      <c r="A21" s="4" t="inlineStr">
        <is>
          <t>Tuesday</t>
        </is>
      </c>
      <c r="B21" s="9">
        <f>IF($B$5="","",$B$5+8)</f>
        <v/>
      </c>
      <c r="C21" s="10" t="n"/>
      <c r="D21" s="10" t="n"/>
      <c r="E21" s="10" t="n"/>
      <c r="F21" s="10" t="n"/>
      <c r="G21" s="11">
        <f>IF(OR(C21="",F21=""),0,ROUND((MOD(F21-C21,1)-IF(OR(D21="",E21=""),0,MOD(E21-D21,1)))*24,2))</f>
        <v/>
      </c>
    </row>
    <row r="22">
      <c r="A22" s="4" t="inlineStr">
        <is>
          <t>Wednesday</t>
        </is>
      </c>
      <c r="B22" s="9">
        <f>IF($B$5="","",$B$5+9)</f>
        <v/>
      </c>
      <c r="C22" s="10" t="n"/>
      <c r="D22" s="10" t="n"/>
      <c r="E22" s="10" t="n"/>
      <c r="F22" s="10" t="n"/>
      <c r="G22" s="11">
        <f>IF(OR(C22="",F22=""),0,ROUND((MOD(F22-C22,1)-IF(OR(D22="",E22=""),0,MOD(E22-D22,1)))*24,2))</f>
        <v/>
      </c>
    </row>
    <row r="23">
      <c r="A23" s="4" t="inlineStr">
        <is>
          <t>Thursday</t>
        </is>
      </c>
      <c r="B23" s="9">
        <f>IF($B$5="","",$B$5+10)</f>
        <v/>
      </c>
      <c r="C23" s="10" t="n"/>
      <c r="D23" s="10" t="n"/>
      <c r="E23" s="10" t="n"/>
      <c r="F23" s="10" t="n"/>
      <c r="G23" s="11">
        <f>IF(OR(C23="",F23=""),0,ROUND((MOD(F23-C23,1)-IF(OR(D23="",E23=""),0,MOD(E23-D23,1)))*24,2))</f>
        <v/>
      </c>
    </row>
    <row r="24">
      <c r="A24" s="4" t="inlineStr">
        <is>
          <t>Friday</t>
        </is>
      </c>
      <c r="B24" s="9">
        <f>IF($B$5="","",$B$5+11)</f>
        <v/>
      </c>
      <c r="C24" s="10" t="n"/>
      <c r="D24" s="10" t="n"/>
      <c r="E24" s="10" t="n"/>
      <c r="F24" s="10" t="n"/>
      <c r="G24" s="11">
        <f>IF(OR(C24="",F24=""),0,ROUND((MOD(F24-C24,1)-IF(OR(D24="",E24=""),0,MOD(E24-D24,1)))*24,2))</f>
        <v/>
      </c>
    </row>
    <row r="25">
      <c r="A25" s="4" t="inlineStr">
        <is>
          <t>Saturday</t>
        </is>
      </c>
      <c r="B25" s="9">
        <f>IF($B$5="","",$B$5+12)</f>
        <v/>
      </c>
      <c r="C25" s="10" t="n"/>
      <c r="D25" s="10" t="n"/>
      <c r="E25" s="10" t="n"/>
      <c r="F25" s="10" t="n"/>
      <c r="G25" s="11">
        <f>IF(OR(C25="",F25=""),0,ROUND((MOD(F25-C25,1)-IF(OR(D25="",E25=""),0,MOD(E25-D25,1)))*24,2))</f>
        <v/>
      </c>
    </row>
    <row r="26">
      <c r="A26" s="4" t="inlineStr">
        <is>
          <t>Sunday</t>
        </is>
      </c>
      <c r="B26" s="9">
        <f>IF($B$5="","",$B$5+13)</f>
        <v/>
      </c>
      <c r="C26" s="10" t="n"/>
      <c r="D26" s="10" t="n"/>
      <c r="E26" s="10" t="n"/>
      <c r="F26" s="10" t="n"/>
      <c r="G26" s="11">
        <f>IF(OR(C26="",F26=""),0,ROUND((MOD(F26-C26,1)-IF(OR(D26="",E26=""),0,MOD(E26-D26,1)))*24,2))</f>
        <v/>
      </c>
    </row>
    <row r="27">
      <c r="F27" s="3" t="inlineStr">
        <is>
          <t>Week total</t>
        </is>
      </c>
      <c r="G27" s="12">
        <f>SUM(G20:G26)</f>
        <v/>
      </c>
    </row>
    <row r="29">
      <c r="I29" s="3" t="inlineStr">
        <is>
          <t>Total hours</t>
        </is>
      </c>
      <c r="J29" s="12">
        <f>G16+G27</f>
        <v/>
      </c>
    </row>
    <row r="30">
      <c r="I30" s="13" t="inlineStr">
        <is>
          <t>Regular hours</t>
        </is>
      </c>
      <c r="J30" s="11">
        <f>MIN(G16,$G$5)+MIN(G27,$G$5)</f>
        <v/>
      </c>
    </row>
    <row r="31">
      <c r="I31" s="13" t="inlineStr">
        <is>
          <t>Overtime hours (1.5×)</t>
        </is>
      </c>
      <c r="J31" s="11">
        <f>MAX(0,G16-$G$5)+MAX(0,G27-$G$5)</f>
        <v/>
      </c>
    </row>
    <row r="32">
      <c r="I32" s="13" t="inlineStr">
        <is>
          <t>Regular pay</t>
        </is>
      </c>
      <c r="J32" s="5">
        <f>IF($G$4="","",J30*$G$4)</f>
        <v/>
      </c>
    </row>
    <row r="33">
      <c r="I33" s="13" t="inlineStr">
        <is>
          <t>Overtime pay</t>
        </is>
      </c>
      <c r="J33" s="5">
        <f>IF($G$4="","",J31*$G$4*1.5)</f>
        <v/>
      </c>
    </row>
    <row r="34">
      <c r="I34" s="3" t="inlineStr">
        <is>
          <t>Gross pay</t>
        </is>
      </c>
      <c r="J34" s="14">
        <f>IF($G$4="","",J32+J33)</f>
        <v/>
      </c>
    </row>
    <row r="36">
      <c r="I36" s="15" t="inlineStr">
        <is>
          <t>Gross pay is before taxes. Overtime here follows the federal 40-hour weekly rule;</t>
        </is>
      </c>
    </row>
    <row r="37">
      <c r="I37" s="15" t="inlineStr">
        <is>
          <t>some states also have daily overtime — see workhourmath.com/guides/overtime-rules-by-state.html</t>
        </is>
      </c>
    </row>
    <row r="39">
      <c r="A39" s="16" t="inlineStr">
        <is>
          <t>Supervisor signature: ______________________     Employee signature: ______________________</t>
        </is>
      </c>
    </row>
  </sheetData>
  <dataValidations count="1">
    <dataValidation sqref="C9 C10 C11 C12 C13 C14 C15 C20 C21 C22 C23 C24 C25 C26 D9 D10 D11 D12 D13 D14 D15 D20 D21 D22 D23 D24 D25 D26 E9 E10 E11 E12 E13 E14 E15 E20 E21 E22 E23 E24 E25 E26 F9 F10 F11 F12 F13 F14 F15 F20 F21 F22 F23 F24 F25 F26" showDropDown="0" showInputMessage="0" showErrorMessage="0" allowBlank="1" errorTitle="Time" error="Enter a time such as 9:00 AM" type="time" operator="between">
      <formula1>0</formula1>
      <formula2>0.999988426</formula2>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39"/>
  <sheetViews>
    <sheetView showGridLines="0"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4" customWidth="1" min="7" max="7"/>
    <col width="3" customWidth="1" min="8" max="8"/>
    <col width="26" customWidth="1" min="9" max="9"/>
    <col width="14" customWidth="1" min="10" max="10"/>
  </cols>
  <sheetData>
    <row r="1">
      <c r="A1" s="1" t="inlineStr">
        <is>
          <t>Biweekly Timesheet</t>
        </is>
      </c>
    </row>
    <row r="2">
      <c r="A2" s="2" t="inlineStr">
        <is>
          <t>Free template from workhourmath.com — times in 12-hour format, e.g. 9:00 AM</t>
        </is>
      </c>
    </row>
    <row r="4">
      <c r="A4" s="3" t="inlineStr">
        <is>
          <t>Employee</t>
        </is>
      </c>
      <c r="B4" s="4" t="inlineStr">
        <is>
          <t>Example employee</t>
        </is>
      </c>
      <c r="E4" s="3" t="inlineStr">
        <is>
          <t>Hourly rate ($)</t>
        </is>
      </c>
      <c r="G4" s="5" t="n">
        <v>18.5</v>
      </c>
    </row>
    <row r="5">
      <c r="A5" s="3" t="inlineStr">
        <is>
          <t>Week starting</t>
        </is>
      </c>
      <c r="B5" s="6" t="n">
        <v>46314</v>
      </c>
      <c r="E5" s="3" t="inlineStr">
        <is>
          <t>Overtime after (hrs/week)</t>
        </is>
      </c>
      <c r="G5" s="4" t="n">
        <v>40</v>
      </c>
    </row>
    <row r="7">
      <c r="A7" s="7" t="inlineStr">
        <is>
          <t>Week 1</t>
        </is>
      </c>
    </row>
    <row r="8">
      <c r="A8" s="8" t="inlineStr">
        <is>
          <t>Day</t>
        </is>
      </c>
      <c r="B8" s="8" t="inlineStr">
        <is>
          <t>Date</t>
        </is>
      </c>
      <c r="C8" s="8" t="inlineStr">
        <is>
          <t>Time in</t>
        </is>
      </c>
      <c r="D8" s="8" t="inlineStr">
        <is>
          <t>Lunch out</t>
        </is>
      </c>
      <c r="E8" s="8" t="inlineStr">
        <is>
          <t>Lunch in</t>
        </is>
      </c>
      <c r="F8" s="8" t="inlineStr">
        <is>
          <t>Time out</t>
        </is>
      </c>
      <c r="G8" s="8" t="inlineStr">
        <is>
          <t>Hours</t>
        </is>
      </c>
    </row>
    <row r="9">
      <c r="A9" s="4" t="inlineStr">
        <is>
          <t>Monday</t>
        </is>
      </c>
      <c r="B9" s="9">
        <f>IF($B$5="","",$B$5+0)</f>
        <v/>
      </c>
      <c r="C9" s="10" t="n">
        <v>0.3645833333333333</v>
      </c>
      <c r="D9" s="10" t="n">
        <v>0.5208333333333334</v>
      </c>
      <c r="E9" s="10" t="n">
        <v>0.5416666666666666</v>
      </c>
      <c r="F9" s="10" t="n">
        <v>0.71875</v>
      </c>
      <c r="G9" s="11">
        <f>IF(OR(C9="",F9=""),0,ROUND((MOD(F9-C9,1)-IF(OR(D9="",E9=""),0,MOD(E9-D9,1)))*24,2))</f>
        <v/>
      </c>
    </row>
    <row r="10">
      <c r="A10" s="4" t="inlineStr">
        <is>
          <t>Tuesday</t>
        </is>
      </c>
      <c r="B10" s="9">
        <f>IF($B$5="","",$B$5+1)</f>
        <v/>
      </c>
      <c r="C10" s="10" t="n">
        <v>0.3645833333333333</v>
      </c>
      <c r="D10" s="10" t="n">
        <v>0.5208333333333334</v>
      </c>
      <c r="E10" s="10" t="n">
        <v>0.5416666666666666</v>
      </c>
      <c r="F10" s="10" t="n">
        <v>0.71875</v>
      </c>
      <c r="G10" s="11">
        <f>IF(OR(C10="",F10=""),0,ROUND((MOD(F10-C10,1)-IF(OR(D10="",E10=""),0,MOD(E10-D10,1)))*24,2))</f>
        <v/>
      </c>
    </row>
    <row r="11">
      <c r="A11" s="4" t="inlineStr">
        <is>
          <t>Wednesday</t>
        </is>
      </c>
      <c r="B11" s="9">
        <f>IF($B$5="","",$B$5+2)</f>
        <v/>
      </c>
      <c r="C11" s="10" t="n">
        <v>0.3645833333333333</v>
      </c>
      <c r="D11" s="10" t="n">
        <v>0.5208333333333334</v>
      </c>
      <c r="E11" s="10" t="n">
        <v>0.5416666666666666</v>
      </c>
      <c r="F11" s="10" t="n">
        <v>0.71875</v>
      </c>
      <c r="G11" s="11">
        <f>IF(OR(C11="",F11=""),0,ROUND((MOD(F11-C11,1)-IF(OR(D11="",E11=""),0,MOD(E11-D11,1)))*24,2))</f>
        <v/>
      </c>
    </row>
    <row r="12">
      <c r="A12" s="4" t="inlineStr">
        <is>
          <t>Thursday</t>
        </is>
      </c>
      <c r="B12" s="9">
        <f>IF($B$5="","",$B$5+3)</f>
        <v/>
      </c>
      <c r="C12" s="10" t="n">
        <v>0.3645833333333333</v>
      </c>
      <c r="D12" s="10" t="n">
        <v>0.5208333333333334</v>
      </c>
      <c r="E12" s="10" t="n">
        <v>0.5416666666666666</v>
      </c>
      <c r="F12" s="10" t="n">
        <v>0.71875</v>
      </c>
      <c r="G12" s="11">
        <f>IF(OR(C12="",F12=""),0,ROUND((MOD(F12-C12,1)-IF(OR(D12="",E12=""),0,MOD(E12-D12,1)))*24,2))</f>
        <v/>
      </c>
    </row>
    <row r="13">
      <c r="A13" s="4" t="inlineStr">
        <is>
          <t>Friday</t>
        </is>
      </c>
      <c r="B13" s="9">
        <f>IF($B$5="","",$B$5+4)</f>
        <v/>
      </c>
      <c r="C13" s="10" t="n">
        <v>0.3645833333333333</v>
      </c>
      <c r="D13" s="10" t="n">
        <v>0.5208333333333334</v>
      </c>
      <c r="E13" s="10" t="n">
        <v>0.5416666666666666</v>
      </c>
      <c r="F13" s="10" t="n">
        <v>0.71875</v>
      </c>
      <c r="G13" s="11">
        <f>IF(OR(C13="",F13=""),0,ROUND((MOD(F13-C13,1)-IF(OR(D13="",E13=""),0,MOD(E13-D13,1)))*24,2))</f>
        <v/>
      </c>
    </row>
    <row r="14">
      <c r="A14" s="4" t="inlineStr">
        <is>
          <t>Saturday</t>
        </is>
      </c>
      <c r="B14" s="9">
        <f>IF($B$5="","",$B$5+5)</f>
        <v/>
      </c>
      <c r="C14" s="10" t="n">
        <v>0.3333333333333333</v>
      </c>
      <c r="D14" s="10" t="n"/>
      <c r="E14" s="10" t="n"/>
      <c r="F14" s="10" t="n">
        <v>0.5208333333333334</v>
      </c>
      <c r="G14" s="11">
        <f>IF(OR(C14="",F14=""),0,ROUND((MOD(F14-C14,1)-IF(OR(D14="",E14=""),0,MOD(E14-D14,1)))*24,2))</f>
        <v/>
      </c>
    </row>
    <row r="15">
      <c r="A15" s="4" t="inlineStr">
        <is>
          <t>Sunday</t>
        </is>
      </c>
      <c r="B15" s="9">
        <f>IF($B$5="","",$B$5+6)</f>
        <v/>
      </c>
      <c r="C15" s="10" t="n"/>
      <c r="D15" s="10" t="n"/>
      <c r="E15" s="10" t="n"/>
      <c r="F15" s="10" t="n"/>
      <c r="G15" s="11">
        <f>IF(OR(C15="",F15=""),0,ROUND((MOD(F15-C15,1)-IF(OR(D15="",E15=""),0,MOD(E15-D15,1)))*24,2))</f>
        <v/>
      </c>
    </row>
    <row r="16">
      <c r="F16" s="3" t="inlineStr">
        <is>
          <t>Week total</t>
        </is>
      </c>
      <c r="G16" s="12">
        <f>SUM(G9:G15)</f>
        <v/>
      </c>
    </row>
    <row r="18">
      <c r="A18" s="7" t="inlineStr">
        <is>
          <t>Week 2</t>
        </is>
      </c>
    </row>
    <row r="19">
      <c r="A19" s="8" t="inlineStr">
        <is>
          <t>Day</t>
        </is>
      </c>
      <c r="B19" s="8" t="inlineStr">
        <is>
          <t>Date</t>
        </is>
      </c>
      <c r="C19" s="8" t="inlineStr">
        <is>
          <t>Time in</t>
        </is>
      </c>
      <c r="D19" s="8" t="inlineStr">
        <is>
          <t>Lunch out</t>
        </is>
      </c>
      <c r="E19" s="8" t="inlineStr">
        <is>
          <t>Lunch in</t>
        </is>
      </c>
      <c r="F19" s="8" t="inlineStr">
        <is>
          <t>Time out</t>
        </is>
      </c>
      <c r="G19" s="8" t="inlineStr">
        <is>
          <t>Hours</t>
        </is>
      </c>
    </row>
    <row r="20">
      <c r="A20" s="4" t="inlineStr">
        <is>
          <t>Monday</t>
        </is>
      </c>
      <c r="B20" s="9">
        <f>IF($B$5="","",$B$5+7)</f>
        <v/>
      </c>
      <c r="C20" s="10" t="n">
        <v>0.3645833333333333</v>
      </c>
      <c r="D20" s="10" t="n">
        <v>0.5208333333333334</v>
      </c>
      <c r="E20" s="10" t="n">
        <v>0.5416666666666666</v>
      </c>
      <c r="F20" s="10" t="n">
        <v>0.71875</v>
      </c>
      <c r="G20" s="11">
        <f>IF(OR(C20="",F20=""),0,ROUND((MOD(F20-C20,1)-IF(OR(D20="",E20=""),0,MOD(E20-D20,1)))*24,2))</f>
        <v/>
      </c>
    </row>
    <row r="21">
      <c r="A21" s="4" t="inlineStr">
        <is>
          <t>Tuesday</t>
        </is>
      </c>
      <c r="B21" s="9">
        <f>IF($B$5="","",$B$5+8)</f>
        <v/>
      </c>
      <c r="C21" s="10" t="n">
        <v>0.3645833333333333</v>
      </c>
      <c r="D21" s="10" t="n">
        <v>0.5208333333333334</v>
      </c>
      <c r="E21" s="10" t="n">
        <v>0.5416666666666666</v>
      </c>
      <c r="F21" s="10" t="n">
        <v>0.71875</v>
      </c>
      <c r="G21" s="11">
        <f>IF(OR(C21="",F21=""),0,ROUND((MOD(F21-C21,1)-IF(OR(D21="",E21=""),0,MOD(E21-D21,1)))*24,2))</f>
        <v/>
      </c>
    </row>
    <row r="22">
      <c r="A22" s="4" t="inlineStr">
        <is>
          <t>Wednesday</t>
        </is>
      </c>
      <c r="B22" s="9">
        <f>IF($B$5="","",$B$5+9)</f>
        <v/>
      </c>
      <c r="C22" s="10" t="n">
        <v>0.3645833333333333</v>
      </c>
      <c r="D22" s="10" t="n">
        <v>0.5208333333333334</v>
      </c>
      <c r="E22" s="10" t="n">
        <v>0.5416666666666666</v>
      </c>
      <c r="F22" s="10" t="n">
        <v>0.71875</v>
      </c>
      <c r="G22" s="11">
        <f>IF(OR(C22="",F22=""),0,ROUND((MOD(F22-C22,1)-IF(OR(D22="",E22=""),0,MOD(E22-D22,1)))*24,2))</f>
        <v/>
      </c>
    </row>
    <row r="23">
      <c r="A23" s="4" t="inlineStr">
        <is>
          <t>Thursday</t>
        </is>
      </c>
      <c r="B23" s="9">
        <f>IF($B$5="","",$B$5+10)</f>
        <v/>
      </c>
      <c r="C23" s="10" t="n">
        <v>0.3645833333333333</v>
      </c>
      <c r="D23" s="10" t="n">
        <v>0.5208333333333334</v>
      </c>
      <c r="E23" s="10" t="n">
        <v>0.5416666666666666</v>
      </c>
      <c r="F23" s="10" t="n">
        <v>0.71875</v>
      </c>
      <c r="G23" s="11">
        <f>IF(OR(C23="",F23=""),0,ROUND((MOD(F23-C23,1)-IF(OR(D23="",E23=""),0,MOD(E23-D23,1)))*24,2))</f>
        <v/>
      </c>
    </row>
    <row r="24">
      <c r="A24" s="4" t="inlineStr">
        <is>
          <t>Friday</t>
        </is>
      </c>
      <c r="B24" s="9">
        <f>IF($B$5="","",$B$5+11)</f>
        <v/>
      </c>
      <c r="C24" s="10" t="n">
        <v>0.3645833333333333</v>
      </c>
      <c r="D24" s="10" t="n">
        <v>0.5208333333333334</v>
      </c>
      <c r="E24" s="10" t="n">
        <v>0.5416666666666666</v>
      </c>
      <c r="F24" s="10" t="n">
        <v>0.71875</v>
      </c>
      <c r="G24" s="11">
        <f>IF(OR(C24="",F24=""),0,ROUND((MOD(F24-C24,1)-IF(OR(D24="",E24=""),0,MOD(E24-D24,1)))*24,2))</f>
        <v/>
      </c>
    </row>
    <row r="25">
      <c r="A25" s="4" t="inlineStr">
        <is>
          <t>Saturday</t>
        </is>
      </c>
      <c r="B25" s="9">
        <f>IF($B$5="","",$B$5+12)</f>
        <v/>
      </c>
      <c r="C25" s="10" t="n">
        <v>0.3333333333333333</v>
      </c>
      <c r="D25" s="10" t="n"/>
      <c r="E25" s="10" t="n"/>
      <c r="F25" s="10" t="n">
        <v>0.5208333333333334</v>
      </c>
      <c r="G25" s="11">
        <f>IF(OR(C25="",F25=""),0,ROUND((MOD(F25-C25,1)-IF(OR(D25="",E25=""),0,MOD(E25-D25,1)))*24,2))</f>
        <v/>
      </c>
    </row>
    <row r="26">
      <c r="A26" s="4" t="inlineStr">
        <is>
          <t>Sunday</t>
        </is>
      </c>
      <c r="B26" s="9">
        <f>IF($B$5="","",$B$5+13)</f>
        <v/>
      </c>
      <c r="C26" s="10" t="n"/>
      <c r="D26" s="10" t="n"/>
      <c r="E26" s="10" t="n"/>
      <c r="F26" s="10" t="n"/>
      <c r="G26" s="11">
        <f>IF(OR(C26="",F26=""),0,ROUND((MOD(F26-C26,1)-IF(OR(D26="",E26=""),0,MOD(E26-D26,1)))*24,2))</f>
        <v/>
      </c>
    </row>
    <row r="27">
      <c r="F27" s="3" t="inlineStr">
        <is>
          <t>Week total</t>
        </is>
      </c>
      <c r="G27" s="12">
        <f>SUM(G20:G26)</f>
        <v/>
      </c>
    </row>
    <row r="29">
      <c r="I29" s="3" t="inlineStr">
        <is>
          <t>Total hours</t>
        </is>
      </c>
      <c r="J29" s="12">
        <f>G16+G27</f>
        <v/>
      </c>
    </row>
    <row r="30">
      <c r="I30" s="13" t="inlineStr">
        <is>
          <t>Regular hours</t>
        </is>
      </c>
      <c r="J30" s="11">
        <f>MIN(G16,$G$5)+MIN(G27,$G$5)</f>
        <v/>
      </c>
    </row>
    <row r="31">
      <c r="I31" s="13" t="inlineStr">
        <is>
          <t>Overtime hours (1.5×)</t>
        </is>
      </c>
      <c r="J31" s="11">
        <f>MAX(0,G16-$G$5)+MAX(0,G27-$G$5)</f>
        <v/>
      </c>
    </row>
    <row r="32">
      <c r="I32" s="13" t="inlineStr">
        <is>
          <t>Regular pay</t>
        </is>
      </c>
      <c r="J32" s="5">
        <f>IF($G$4="","",J30*$G$4)</f>
        <v/>
      </c>
    </row>
    <row r="33">
      <c r="I33" s="13" t="inlineStr">
        <is>
          <t>Overtime pay</t>
        </is>
      </c>
      <c r="J33" s="5">
        <f>IF($G$4="","",J31*$G$4*1.5)</f>
        <v/>
      </c>
    </row>
    <row r="34">
      <c r="I34" s="3" t="inlineStr">
        <is>
          <t>Gross pay</t>
        </is>
      </c>
      <c r="J34" s="14">
        <f>IF($G$4="","",J32+J33)</f>
        <v/>
      </c>
    </row>
    <row r="36">
      <c r="I36" s="15" t="inlineStr">
        <is>
          <t>Gross pay is before taxes. Overtime here follows the federal 40-hour weekly rule;</t>
        </is>
      </c>
    </row>
    <row r="37">
      <c r="I37" s="15" t="inlineStr">
        <is>
          <t>some states also have daily overtime — see workhourmath.com/guides/overtime-rules-by-state.html</t>
        </is>
      </c>
    </row>
    <row r="39">
      <c r="A39" s="16" t="inlineStr">
        <is>
          <t>Supervisor signature: ______________________     Employee signature: ______________________</t>
        </is>
      </c>
    </row>
  </sheetData>
  <dataValidations count="1">
    <dataValidation sqref="C9 C10 C11 C12 C13 C14 C15 C20 C21 C22 C23 C24 C25 C26 D9 D10 D11 D12 D13 D14 D15 D20 D21 D22 D23 D24 D25 D26 E9 E10 E11 E12 E13 E14 E15 E20 E21 E22 E23 E24 E25 E26 F9 F10 F11 F12 F13 F14 F15 F20 F21 F22 F23 F24 F25 F26" showDropDown="0" showInputMessage="0" showErrorMessage="0" allowBlank="1" errorTitle="Time" error="Enter a time such as 9:00 AM" type="time" operator="between">
      <formula1>0</formula1>
      <formula2>0.999988426</formula2>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WorkHourMath</dc:creator>
  <dc:title>biweekly-timesheet.xlsx</dc:title>
  <dcterms:created xsi:type="dcterms:W3CDTF">2026-10-14T14:19:48Z</dcterms:created>
  <dcterms:modified xsi:type="dcterms:W3CDTF">2026-10-14T14:19:48Z</dcterms:modified>
</cp:coreProperties>
</file>